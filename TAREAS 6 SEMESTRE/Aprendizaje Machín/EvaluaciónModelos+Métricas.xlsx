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mvic\Desktop\CUCEI\TAREAS 6 SEMESTRE\Aprendizaje Machín\"/>
    </mc:Choice>
  </mc:AlternateContent>
  <xr:revisionPtr revIDLastSave="0" documentId="13_ncr:1_{0DDB302F-1D0B-4DBA-9C48-B606CDFFCF14}" xr6:coauthVersionLast="47" xr6:coauthVersionMax="47" xr10:uidLastSave="{00000000-0000-0000-0000-000000000000}"/>
  <bookViews>
    <workbookView xWindow="-105" yWindow="0" windowWidth="14610" windowHeight="15585" xr2:uid="{EA3FA98A-E78B-4AEF-B769-394AFD4A17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7" i="1" l="1"/>
  <c r="Q7" i="1"/>
  <c r="S6" i="1"/>
  <c r="S5" i="1"/>
  <c r="S3" i="1"/>
  <c r="S4" i="1" s="1"/>
  <c r="N7" i="1"/>
  <c r="L7" i="1"/>
  <c r="N6" i="1"/>
  <c r="N5" i="1"/>
  <c r="N3" i="1"/>
  <c r="I7" i="1"/>
  <c r="G7" i="1"/>
  <c r="I6" i="1"/>
  <c r="I5" i="1"/>
  <c r="I3" i="1"/>
  <c r="B7" i="1"/>
  <c r="D7" i="1"/>
  <c r="D6" i="1"/>
  <c r="D5" i="1"/>
  <c r="D3" i="1"/>
  <c r="N4" i="1" l="1"/>
  <c r="D15" i="1"/>
  <c r="D14" i="1"/>
  <c r="D11" i="1"/>
  <c r="D13" i="1"/>
  <c r="I4" i="1"/>
  <c r="D4" i="1"/>
  <c r="D12" i="1" l="1"/>
</calcChain>
</file>

<file path=xl/sharedStrings.xml><?xml version="1.0" encoding="utf-8"?>
<sst xmlns="http://schemas.openxmlformats.org/spreadsheetml/2006/main" count="54" uniqueCount="19">
  <si>
    <t>Evaluación de modelos</t>
  </si>
  <si>
    <t>VP</t>
  </si>
  <si>
    <t>FP</t>
  </si>
  <si>
    <t>FN</t>
  </si>
  <si>
    <t>VN</t>
  </si>
  <si>
    <t>Presición</t>
  </si>
  <si>
    <t>F1-score</t>
  </si>
  <si>
    <t>Sensibilidad</t>
  </si>
  <si>
    <t>Especifidad</t>
  </si>
  <si>
    <t>Exactitud</t>
  </si>
  <si>
    <t>Total</t>
  </si>
  <si>
    <t>Clase A</t>
  </si>
  <si>
    <t>Rendimiento General del Modelo</t>
  </si>
  <si>
    <t>Clase B</t>
  </si>
  <si>
    <t>Clase C</t>
  </si>
  <si>
    <t>Clase D</t>
  </si>
  <si>
    <t xml:space="preserve">Presición </t>
  </si>
  <si>
    <t xml:space="preserve">F1-Score </t>
  </si>
  <si>
    <t xml:space="preserve">Especifidad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</si>
</sst>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3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2" borderId="2" xfId="0" applyFill="1" applyBorder="1" applyAlignment="1"/>
    <xf numFmtId="0" fontId="0" fillId="4" borderId="3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Amarillo">
      <a:dk1>
        <a:sysClr val="windowText" lastClr="000000"/>
      </a:dk1>
      <a:lt1>
        <a:sysClr val="window" lastClr="FFFFFF"/>
      </a:lt1>
      <a:dk2>
        <a:srgbClr val="39302A"/>
      </a:dk2>
      <a:lt2>
        <a:srgbClr val="E5DEDB"/>
      </a:lt2>
      <a:accent1>
        <a:srgbClr val="FFCA08"/>
      </a:accent1>
      <a:accent2>
        <a:srgbClr val="F8931D"/>
      </a:accent2>
      <a:accent3>
        <a:srgbClr val="CE8D3E"/>
      </a:accent3>
      <a:accent4>
        <a:srgbClr val="EC7016"/>
      </a:accent4>
      <a:accent5>
        <a:srgbClr val="E64823"/>
      </a:accent5>
      <a:accent6>
        <a:srgbClr val="9C6A6A"/>
      </a:accent6>
      <a:hlink>
        <a:srgbClr val="2998E3"/>
      </a:hlink>
      <a:folHlink>
        <a:srgbClr val="7F723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FE71E-19E5-4EFF-AEA8-CA00AE9EFF87}">
  <dimension ref="A1:S15"/>
  <sheetViews>
    <sheetView tabSelected="1" zoomScale="250" zoomScaleNormal="250" workbookViewId="0">
      <selection activeCell="C8" sqref="C8"/>
    </sheetView>
  </sheetViews>
  <sheetFormatPr baseColWidth="10" defaultRowHeight="15" x14ac:dyDescent="0.25"/>
  <cols>
    <col min="3" max="3" width="12.42578125" customWidth="1"/>
  </cols>
  <sheetData>
    <row r="1" spans="1:19" x14ac:dyDescent="0.25">
      <c r="A1" s="2" t="s">
        <v>0</v>
      </c>
      <c r="B1" s="3"/>
      <c r="C1" s="3"/>
      <c r="D1" s="4"/>
      <c r="F1" s="2" t="s">
        <v>0</v>
      </c>
      <c r="G1" s="3"/>
      <c r="H1" s="3"/>
      <c r="I1" s="4"/>
      <c r="K1" s="2" t="s">
        <v>0</v>
      </c>
      <c r="L1" s="3"/>
      <c r="M1" s="3"/>
      <c r="N1" s="4"/>
      <c r="P1" s="2" t="s">
        <v>0</v>
      </c>
      <c r="Q1" s="3"/>
      <c r="R1" s="3"/>
      <c r="S1" s="4"/>
    </row>
    <row r="2" spans="1:19" x14ac:dyDescent="0.25">
      <c r="A2" s="5" t="s">
        <v>11</v>
      </c>
      <c r="B2" s="7"/>
      <c r="C2" s="7"/>
      <c r="D2" s="8"/>
      <c r="F2" s="5" t="s">
        <v>13</v>
      </c>
      <c r="G2" s="7"/>
      <c r="H2" s="7"/>
      <c r="I2" s="8"/>
      <c r="K2" s="5" t="s">
        <v>14</v>
      </c>
      <c r="L2" s="7"/>
      <c r="M2" s="7"/>
      <c r="N2" s="8"/>
      <c r="P2" s="5" t="s">
        <v>15</v>
      </c>
      <c r="Q2" s="7"/>
      <c r="R2" s="7"/>
      <c r="S2" s="8"/>
    </row>
    <row r="3" spans="1:19" x14ac:dyDescent="0.25">
      <c r="A3" s="6" t="s">
        <v>1</v>
      </c>
      <c r="B3" s="1">
        <v>8</v>
      </c>
      <c r="C3" s="6" t="s">
        <v>5</v>
      </c>
      <c r="D3" s="1">
        <f>B3/(B3+B5)</f>
        <v>0.8</v>
      </c>
      <c r="F3" s="6" t="s">
        <v>1</v>
      </c>
      <c r="G3" s="1">
        <v>7</v>
      </c>
      <c r="H3" s="6" t="s">
        <v>5</v>
      </c>
      <c r="I3" s="1">
        <f>G3/(G3+G5)</f>
        <v>0.7</v>
      </c>
      <c r="K3" s="6" t="s">
        <v>1</v>
      </c>
      <c r="L3" s="1">
        <v>7</v>
      </c>
      <c r="M3" s="6" t="s">
        <v>5</v>
      </c>
      <c r="N3" s="1">
        <f>L3/(L3+L5)</f>
        <v>0.63636363636363635</v>
      </c>
      <c r="P3" s="6" t="s">
        <v>1</v>
      </c>
      <c r="Q3" s="1">
        <v>7</v>
      </c>
      <c r="R3" s="6" t="s">
        <v>5</v>
      </c>
      <c r="S3" s="1">
        <f>Q3/(Q3+Q5)</f>
        <v>0.77777777777777779</v>
      </c>
    </row>
    <row r="4" spans="1:19" x14ac:dyDescent="0.25">
      <c r="A4" s="6" t="s">
        <v>3</v>
      </c>
      <c r="B4" s="1">
        <v>2</v>
      </c>
      <c r="C4" s="6" t="s">
        <v>6</v>
      </c>
      <c r="D4" s="1">
        <f>2*((D3*D5)/(D3+D5))</f>
        <v>0.80000000000000016</v>
      </c>
      <c r="F4" s="6" t="s">
        <v>3</v>
      </c>
      <c r="G4" s="1">
        <v>3</v>
      </c>
      <c r="H4" s="6" t="s">
        <v>6</v>
      </c>
      <c r="I4" s="1">
        <f>2*((I3*I5)/(I3+I5))</f>
        <v>0.7</v>
      </c>
      <c r="K4" s="6" t="s">
        <v>3</v>
      </c>
      <c r="L4" s="1">
        <v>3</v>
      </c>
      <c r="M4" s="6" t="s">
        <v>6</v>
      </c>
      <c r="N4" s="1">
        <f>2*((N3*N5)/(N3+N5))</f>
        <v>0.66666666666666663</v>
      </c>
      <c r="P4" s="6" t="s">
        <v>3</v>
      </c>
      <c r="Q4" s="1">
        <v>3</v>
      </c>
      <c r="R4" s="6" t="s">
        <v>6</v>
      </c>
      <c r="S4" s="1">
        <f>2*((S3*S5)/(S3+S5))</f>
        <v>0.73684210526315774</v>
      </c>
    </row>
    <row r="5" spans="1:19" x14ac:dyDescent="0.25">
      <c r="A5" s="6" t="s">
        <v>2</v>
      </c>
      <c r="B5" s="1">
        <v>2</v>
      </c>
      <c r="C5" s="6" t="s">
        <v>7</v>
      </c>
      <c r="D5" s="1">
        <f>B3/(B3+B4)</f>
        <v>0.8</v>
      </c>
      <c r="F5" s="6" t="s">
        <v>2</v>
      </c>
      <c r="G5" s="1">
        <v>3</v>
      </c>
      <c r="H5" s="6" t="s">
        <v>7</v>
      </c>
      <c r="I5" s="1">
        <f>G3/(G3+G4)</f>
        <v>0.7</v>
      </c>
      <c r="K5" s="6" t="s">
        <v>2</v>
      </c>
      <c r="L5" s="1">
        <v>4</v>
      </c>
      <c r="M5" s="6" t="s">
        <v>7</v>
      </c>
      <c r="N5" s="1">
        <f>L3/(L3+L4)</f>
        <v>0.7</v>
      </c>
      <c r="P5" s="6" t="s">
        <v>2</v>
      </c>
      <c r="Q5" s="1">
        <v>2</v>
      </c>
      <c r="R5" s="6" t="s">
        <v>7</v>
      </c>
      <c r="S5" s="1">
        <f>Q3/(Q3+Q4)</f>
        <v>0.7</v>
      </c>
    </row>
    <row r="6" spans="1:19" x14ac:dyDescent="0.25">
      <c r="A6" s="6" t="s">
        <v>4</v>
      </c>
      <c r="B6" s="1">
        <v>28</v>
      </c>
      <c r="C6" s="6" t="s">
        <v>8</v>
      </c>
      <c r="D6" s="1">
        <f>B6/(B6+B5)</f>
        <v>0.93333333333333335</v>
      </c>
      <c r="F6" s="6" t="s">
        <v>4</v>
      </c>
      <c r="G6" s="1">
        <v>27</v>
      </c>
      <c r="H6" s="6" t="s">
        <v>8</v>
      </c>
      <c r="I6" s="1">
        <f>G6/(G6+G5)</f>
        <v>0.9</v>
      </c>
      <c r="K6" s="6" t="s">
        <v>4</v>
      </c>
      <c r="L6" s="1">
        <v>26</v>
      </c>
      <c r="M6" s="6" t="s">
        <v>8</v>
      </c>
      <c r="N6" s="1">
        <f>L6/(L6+L5)</f>
        <v>0.8666666666666667</v>
      </c>
      <c r="P6" s="6" t="s">
        <v>4</v>
      </c>
      <c r="Q6" s="1">
        <v>28</v>
      </c>
      <c r="R6" s="6" t="s">
        <v>8</v>
      </c>
      <c r="S6" s="1">
        <f>Q6/(Q6+Q5)</f>
        <v>0.93333333333333335</v>
      </c>
    </row>
    <row r="7" spans="1:19" x14ac:dyDescent="0.25">
      <c r="A7" s="6" t="s">
        <v>10</v>
      </c>
      <c r="B7" s="1">
        <f>B3+B4+B5+B6</f>
        <v>40</v>
      </c>
      <c r="C7" s="6" t="s">
        <v>9</v>
      </c>
      <c r="D7" s="1">
        <f>(B3+B6)/(B3+B4+B5+B6)</f>
        <v>0.9</v>
      </c>
      <c r="F7" s="6" t="s">
        <v>10</v>
      </c>
      <c r="G7" s="1">
        <f>G3+G4+G5+G6</f>
        <v>40</v>
      </c>
      <c r="H7" s="6" t="s">
        <v>9</v>
      </c>
      <c r="I7" s="1">
        <f>(G3+G6)/(G3+G4+G5+G6)</f>
        <v>0.85</v>
      </c>
      <c r="K7" s="6" t="s">
        <v>10</v>
      </c>
      <c r="L7" s="1">
        <f>L3+L4+L5+L6</f>
        <v>40</v>
      </c>
      <c r="M7" s="6" t="s">
        <v>9</v>
      </c>
      <c r="N7" s="1">
        <f>(L3+L6)/(L3+L4+L5+L6)</f>
        <v>0.82499999999999996</v>
      </c>
      <c r="P7" s="6" t="s">
        <v>10</v>
      </c>
      <c r="Q7" s="1">
        <f>Q3+Q4+Q5+Q6</f>
        <v>40</v>
      </c>
      <c r="R7" s="6" t="s">
        <v>9</v>
      </c>
      <c r="S7" s="1">
        <f>(Q3+Q6)/(Q3+Q4+Q5+Q6)</f>
        <v>0.875</v>
      </c>
    </row>
    <row r="10" spans="1:19" x14ac:dyDescent="0.25">
      <c r="A10" s="2" t="s">
        <v>12</v>
      </c>
      <c r="B10" s="3"/>
      <c r="C10" s="3"/>
      <c r="D10" s="9"/>
    </row>
    <row r="11" spans="1:19" x14ac:dyDescent="0.25">
      <c r="A11" s="10" t="s">
        <v>16</v>
      </c>
      <c r="B11" s="12"/>
      <c r="C11" s="11"/>
      <c r="D11" s="1">
        <f>(D3+I3+N3+S3)/4</f>
        <v>0.72853535353535348</v>
      </c>
    </row>
    <row r="12" spans="1:19" x14ac:dyDescent="0.25">
      <c r="A12" s="10" t="s">
        <v>17</v>
      </c>
      <c r="B12" s="12"/>
      <c r="C12" s="11"/>
      <c r="D12" s="1">
        <f t="shared" ref="D12:D15" si="0">(D4+I4+N4+S4)/4</f>
        <v>0.72587719298245612</v>
      </c>
    </row>
    <row r="13" spans="1:19" x14ac:dyDescent="0.25">
      <c r="A13" s="10" t="s">
        <v>7</v>
      </c>
      <c r="B13" s="12"/>
      <c r="C13" s="11"/>
      <c r="D13" s="1">
        <f t="shared" si="0"/>
        <v>0.72500000000000009</v>
      </c>
    </row>
    <row r="14" spans="1:19" x14ac:dyDescent="0.25">
      <c r="A14" s="10" t="s">
        <v>18</v>
      </c>
      <c r="B14" s="12"/>
      <c r="C14" s="11"/>
      <c r="D14" s="1">
        <f t="shared" si="0"/>
        <v>0.90833333333333344</v>
      </c>
    </row>
    <row r="15" spans="1:19" x14ac:dyDescent="0.25">
      <c r="A15" s="10" t="s">
        <v>9</v>
      </c>
      <c r="B15" s="12"/>
      <c r="C15" s="11"/>
      <c r="D15" s="1">
        <f t="shared" si="0"/>
        <v>0.86250000000000004</v>
      </c>
    </row>
  </sheetData>
  <mergeCells count="14">
    <mergeCell ref="A15:C15"/>
    <mergeCell ref="A11:C11"/>
    <mergeCell ref="A12:C12"/>
    <mergeCell ref="A13:C13"/>
    <mergeCell ref="A14:C14"/>
    <mergeCell ref="K1:N1"/>
    <mergeCell ref="K2:N2"/>
    <mergeCell ref="P1:S1"/>
    <mergeCell ref="P2:S2"/>
    <mergeCell ref="A10:C10"/>
    <mergeCell ref="A1:D1"/>
    <mergeCell ref="A2:D2"/>
    <mergeCell ref="F1:I1"/>
    <mergeCell ref="F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Contreras</dc:creator>
  <cp:lastModifiedBy>Victor Contreras</cp:lastModifiedBy>
  <dcterms:created xsi:type="dcterms:W3CDTF">2026-09-13T22:10:59Z</dcterms:created>
  <dcterms:modified xsi:type="dcterms:W3CDTF">2026-09-14T07:03:35Z</dcterms:modified>
</cp:coreProperties>
</file>